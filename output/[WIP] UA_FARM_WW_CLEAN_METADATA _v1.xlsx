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ean_Metadata" sheetId="1" r:id="rId4"/>
    <sheet state="visible" name="Summary" sheetId="2" r:id="rId5"/>
    <sheet state="visible" name="By_Oblast" sheetId="3" r:id="rId6"/>
  </sheets>
  <definedNames/>
  <calcPr/>
  <extLst>
    <ext uri="GoogleSheetsCustomDataVersion2">
      <go:sheetsCustomData xmlns:go="http://customooxmlschemas.google.com/" r:id="rId7" roundtripDataChecksum="m69Uqo08XezR3Vi8TFDC4mXq22Fewys3OPs/J4YI9IE="/>
    </ext>
  </extLst>
</workbook>
</file>

<file path=xl/sharedStrings.xml><?xml version="1.0" encoding="utf-8"?>
<sst xmlns="http://schemas.openxmlformats.org/spreadsheetml/2006/main" count="206" uniqueCount="82">
  <si>
    <t>Barcode</t>
  </si>
  <si>
    <t>Sample ID</t>
  </si>
  <si>
    <t>Farm Type</t>
  </si>
  <si>
    <t>Farm ID</t>
  </si>
  <si>
    <t>Sample Type</t>
  </si>
  <si>
    <t>Oblast</t>
  </si>
  <si>
    <t>Collection Period</t>
  </si>
  <si>
    <t>BC01</t>
  </si>
  <si>
    <t>1.1.</t>
  </si>
  <si>
    <t>Poultry</t>
  </si>
  <si>
    <t>poultry #1</t>
  </si>
  <si>
    <t>Native</t>
  </si>
  <si>
    <t>Zaporizhzhia Oblast</t>
  </si>
  <si>
    <t>JAN-FEB 2025</t>
  </si>
  <si>
    <t>BC02</t>
  </si>
  <si>
    <t>1.1. н</t>
  </si>
  <si>
    <t>Enriched</t>
  </si>
  <si>
    <t>BC03</t>
  </si>
  <si>
    <t>2.</t>
  </si>
  <si>
    <t>Pig</t>
  </si>
  <si>
    <t>pig #1</t>
  </si>
  <si>
    <t>Zhytomyr Oblast</t>
  </si>
  <si>
    <t>BC04</t>
  </si>
  <si>
    <t>2. н</t>
  </si>
  <si>
    <t>BC05</t>
  </si>
  <si>
    <t>3.</t>
  </si>
  <si>
    <t>poultry #2</t>
  </si>
  <si>
    <t>Kyiv Oblast</t>
  </si>
  <si>
    <t>BC06</t>
  </si>
  <si>
    <t>3. н</t>
  </si>
  <si>
    <t>BC07</t>
  </si>
  <si>
    <t>4.</t>
  </si>
  <si>
    <t>poultry #3</t>
  </si>
  <si>
    <t>BC08</t>
  </si>
  <si>
    <t>4. н</t>
  </si>
  <si>
    <t>BC09</t>
  </si>
  <si>
    <t>5.1.</t>
  </si>
  <si>
    <t>pig #2</t>
  </si>
  <si>
    <t>BC10</t>
  </si>
  <si>
    <t>5.1. н</t>
  </si>
  <si>
    <t>BC11</t>
  </si>
  <si>
    <t>5.2.</t>
  </si>
  <si>
    <t>pig #2 B2</t>
  </si>
  <si>
    <t>BC12</t>
  </si>
  <si>
    <t>5.2.н</t>
  </si>
  <si>
    <t>BC13</t>
  </si>
  <si>
    <t>6.</t>
  </si>
  <si>
    <t>pig #3</t>
  </si>
  <si>
    <t>BC14</t>
  </si>
  <si>
    <t>6. н</t>
  </si>
  <si>
    <t>BC15</t>
  </si>
  <si>
    <t>7.</t>
  </si>
  <si>
    <t>pig #4</t>
  </si>
  <si>
    <t>Chernivtsi Oblast</t>
  </si>
  <si>
    <t>BC16</t>
  </si>
  <si>
    <t>7. н</t>
  </si>
  <si>
    <t>BC17</t>
  </si>
  <si>
    <t>8.</t>
  </si>
  <si>
    <t>pig #5</t>
  </si>
  <si>
    <t>BC18</t>
  </si>
  <si>
    <t>8. н</t>
  </si>
  <si>
    <t>BC19</t>
  </si>
  <si>
    <t>9.</t>
  </si>
  <si>
    <t>pig #6</t>
  </si>
  <si>
    <t>Vinnytsia Oblast</t>
  </si>
  <si>
    <t>BC20</t>
  </si>
  <si>
    <t>9. н</t>
  </si>
  <si>
    <t>BC21</t>
  </si>
  <si>
    <t>10.</t>
  </si>
  <si>
    <t>pig #7</t>
  </si>
  <si>
    <t>BC22</t>
  </si>
  <si>
    <t>10. н</t>
  </si>
  <si>
    <t>BC23</t>
  </si>
  <si>
    <t>11.</t>
  </si>
  <si>
    <t>pig #8</t>
  </si>
  <si>
    <t>Mykolaiv Oblast</t>
  </si>
  <si>
    <t>BC24</t>
  </si>
  <si>
    <t>11 н</t>
  </si>
  <si>
    <t>PHAGENT Ukraine Farm Wastewater mNGS - Sample Summary</t>
  </si>
  <si>
    <t>Count</t>
  </si>
  <si>
    <t>TOTAL</t>
  </si>
  <si>
    <t>Samples by Oblast (Native samples only)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</si>
</sst>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rgb="FFFFFFFF"/>
      <name val="Calibri"/>
      <scheme val="minor"/>
    </font>
    <font>
      <sz val="11.0"/>
      <color theme="1"/>
      <name val="Calibri"/>
    </font>
    <font>
      <b/>
      <sz val="14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2" numFmtId="0" xfId="0" applyBorder="1" applyFill="1" applyFont="1"/>
    <xf borderId="1" fillId="4" fontId="2" numFmtId="0" xfId="0" applyBorder="1" applyFill="1" applyFont="1"/>
    <xf borderId="0" fillId="0" fontId="3" numFmtId="0" xfId="0" applyFont="1"/>
    <xf borderId="1" fillId="2" fontId="1" numFmtId="0" xfId="0" applyBorder="1" applyFont="1"/>
    <xf borderId="1" fillId="0" fontId="2" numFmtId="0" xfId="0" applyBorder="1" applyFont="1"/>
    <xf borderId="0" fillId="0" fontId="4" numFmtId="0" xfId="0" applyFont="1"/>
    <xf borderId="2" fillId="2" fontId="1" numFmtId="0" xfId="0" applyBorder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2.0"/>
    <col customWidth="1" min="4" max="4" width="14.0"/>
    <col customWidth="1" min="5" max="5" width="12.0"/>
    <col customWidth="1" min="6" max="6" width="20.0"/>
    <col customWidth="1" min="7" max="7" width="18.0"/>
    <col customWidth="1" min="8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>
      <c r="A3" s="2" t="s">
        <v>14</v>
      </c>
      <c r="B3" s="2" t="s">
        <v>15</v>
      </c>
      <c r="C3" s="2" t="s">
        <v>9</v>
      </c>
      <c r="D3" s="2" t="s">
        <v>10</v>
      </c>
      <c r="E3" s="2" t="s">
        <v>16</v>
      </c>
      <c r="F3" s="2" t="s">
        <v>12</v>
      </c>
      <c r="G3" s="2" t="s">
        <v>13</v>
      </c>
    </row>
    <row r="4">
      <c r="A4" s="3" t="s">
        <v>17</v>
      </c>
      <c r="B4" s="3" t="s">
        <v>18</v>
      </c>
      <c r="C4" s="3" t="s">
        <v>19</v>
      </c>
      <c r="D4" s="3" t="s">
        <v>20</v>
      </c>
      <c r="E4" s="3" t="s">
        <v>11</v>
      </c>
      <c r="F4" s="3" t="s">
        <v>21</v>
      </c>
      <c r="G4" s="3" t="s">
        <v>13</v>
      </c>
    </row>
    <row r="5">
      <c r="A5" s="3" t="s">
        <v>22</v>
      </c>
      <c r="B5" s="3" t="s">
        <v>23</v>
      </c>
      <c r="C5" s="3" t="s">
        <v>19</v>
      </c>
      <c r="D5" s="3" t="s">
        <v>20</v>
      </c>
      <c r="E5" s="3" t="s">
        <v>16</v>
      </c>
      <c r="F5" s="3" t="s">
        <v>21</v>
      </c>
      <c r="G5" s="3" t="s">
        <v>13</v>
      </c>
    </row>
    <row r="6">
      <c r="A6" s="2" t="s">
        <v>24</v>
      </c>
      <c r="B6" s="2" t="s">
        <v>25</v>
      </c>
      <c r="C6" s="2" t="s">
        <v>9</v>
      </c>
      <c r="D6" s="2" t="s">
        <v>26</v>
      </c>
      <c r="E6" s="2" t="s">
        <v>11</v>
      </c>
      <c r="F6" s="2" t="s">
        <v>27</v>
      </c>
      <c r="G6" s="2" t="s">
        <v>13</v>
      </c>
    </row>
    <row r="7">
      <c r="A7" s="2" t="s">
        <v>28</v>
      </c>
      <c r="B7" s="2" t="s">
        <v>29</v>
      </c>
      <c r="C7" s="2" t="s">
        <v>9</v>
      </c>
      <c r="D7" s="2" t="s">
        <v>26</v>
      </c>
      <c r="E7" s="2" t="s">
        <v>16</v>
      </c>
      <c r="F7" s="2" t="s">
        <v>27</v>
      </c>
      <c r="G7" s="2" t="s">
        <v>13</v>
      </c>
    </row>
    <row r="8">
      <c r="A8" s="2" t="s">
        <v>30</v>
      </c>
      <c r="B8" s="2" t="s">
        <v>31</v>
      </c>
      <c r="C8" s="2" t="s">
        <v>9</v>
      </c>
      <c r="D8" s="2" t="s">
        <v>32</v>
      </c>
      <c r="E8" s="2" t="s">
        <v>11</v>
      </c>
      <c r="F8" s="2" t="s">
        <v>27</v>
      </c>
      <c r="G8" s="2" t="s">
        <v>13</v>
      </c>
    </row>
    <row r="9">
      <c r="A9" s="2" t="s">
        <v>33</v>
      </c>
      <c r="B9" s="2" t="s">
        <v>34</v>
      </c>
      <c r="C9" s="2" t="s">
        <v>9</v>
      </c>
      <c r="D9" s="2" t="s">
        <v>32</v>
      </c>
      <c r="E9" s="2" t="s">
        <v>16</v>
      </c>
      <c r="F9" s="2" t="s">
        <v>27</v>
      </c>
      <c r="G9" s="2" t="s">
        <v>13</v>
      </c>
    </row>
    <row r="10">
      <c r="A10" s="3" t="s">
        <v>35</v>
      </c>
      <c r="B10" s="3" t="s">
        <v>36</v>
      </c>
      <c r="C10" s="3" t="s">
        <v>19</v>
      </c>
      <c r="D10" s="3" t="s">
        <v>37</v>
      </c>
      <c r="E10" s="3" t="s">
        <v>11</v>
      </c>
      <c r="F10" s="3" t="s">
        <v>27</v>
      </c>
      <c r="G10" s="3" t="s">
        <v>13</v>
      </c>
    </row>
    <row r="11">
      <c r="A11" s="3" t="s">
        <v>38</v>
      </c>
      <c r="B11" s="3" t="s">
        <v>39</v>
      </c>
      <c r="C11" s="3" t="s">
        <v>19</v>
      </c>
      <c r="D11" s="3" t="s">
        <v>37</v>
      </c>
      <c r="E11" s="3" t="s">
        <v>16</v>
      </c>
      <c r="F11" s="3" t="s">
        <v>27</v>
      </c>
      <c r="G11" s="3" t="s">
        <v>13</v>
      </c>
    </row>
    <row r="12">
      <c r="A12" s="3" t="s">
        <v>40</v>
      </c>
      <c r="B12" s="3" t="s">
        <v>41</v>
      </c>
      <c r="C12" s="3" t="s">
        <v>19</v>
      </c>
      <c r="D12" s="3" t="s">
        <v>42</v>
      </c>
      <c r="E12" s="3" t="s">
        <v>11</v>
      </c>
      <c r="F12" s="3" t="s">
        <v>27</v>
      </c>
      <c r="G12" s="3" t="s">
        <v>13</v>
      </c>
    </row>
    <row r="13">
      <c r="A13" s="3" t="s">
        <v>43</v>
      </c>
      <c r="B13" s="3" t="s">
        <v>44</v>
      </c>
      <c r="C13" s="3" t="s">
        <v>19</v>
      </c>
      <c r="D13" s="3" t="s">
        <v>42</v>
      </c>
      <c r="E13" s="3" t="s">
        <v>16</v>
      </c>
      <c r="F13" s="3" t="s">
        <v>27</v>
      </c>
      <c r="G13" s="3" t="s">
        <v>13</v>
      </c>
    </row>
    <row r="14">
      <c r="A14" s="3" t="s">
        <v>45</v>
      </c>
      <c r="B14" s="3" t="s">
        <v>46</v>
      </c>
      <c r="C14" s="3" t="s">
        <v>19</v>
      </c>
      <c r="D14" s="3" t="s">
        <v>47</v>
      </c>
      <c r="E14" s="3" t="s">
        <v>11</v>
      </c>
      <c r="F14" s="3" t="s">
        <v>27</v>
      </c>
      <c r="G14" s="3" t="s">
        <v>13</v>
      </c>
    </row>
    <row r="15">
      <c r="A15" s="3" t="s">
        <v>48</v>
      </c>
      <c r="B15" s="3" t="s">
        <v>49</v>
      </c>
      <c r="C15" s="3" t="s">
        <v>19</v>
      </c>
      <c r="D15" s="3" t="s">
        <v>47</v>
      </c>
      <c r="E15" s="3" t="s">
        <v>16</v>
      </c>
      <c r="F15" s="3" t="s">
        <v>27</v>
      </c>
      <c r="G15" s="3" t="s">
        <v>13</v>
      </c>
    </row>
    <row r="16">
      <c r="A16" s="3" t="s">
        <v>50</v>
      </c>
      <c r="B16" s="3" t="s">
        <v>51</v>
      </c>
      <c r="C16" s="3" t="s">
        <v>19</v>
      </c>
      <c r="D16" s="3" t="s">
        <v>52</v>
      </c>
      <c r="E16" s="3" t="s">
        <v>11</v>
      </c>
      <c r="F16" s="3" t="s">
        <v>53</v>
      </c>
      <c r="G16" s="3" t="s">
        <v>13</v>
      </c>
    </row>
    <row r="17">
      <c r="A17" s="3" t="s">
        <v>54</v>
      </c>
      <c r="B17" s="3" t="s">
        <v>55</v>
      </c>
      <c r="C17" s="3" t="s">
        <v>19</v>
      </c>
      <c r="D17" s="3" t="s">
        <v>52</v>
      </c>
      <c r="E17" s="3" t="s">
        <v>16</v>
      </c>
      <c r="F17" s="3" t="s">
        <v>53</v>
      </c>
      <c r="G17" s="3" t="s">
        <v>13</v>
      </c>
    </row>
    <row r="18">
      <c r="A18" s="3" t="s">
        <v>56</v>
      </c>
      <c r="B18" s="3" t="s">
        <v>57</v>
      </c>
      <c r="C18" s="3" t="s">
        <v>19</v>
      </c>
      <c r="D18" s="3" t="s">
        <v>58</v>
      </c>
      <c r="E18" s="3" t="s">
        <v>11</v>
      </c>
      <c r="F18" s="3" t="s">
        <v>53</v>
      </c>
      <c r="G18" s="3" t="s">
        <v>13</v>
      </c>
    </row>
    <row r="19">
      <c r="A19" s="3" t="s">
        <v>59</v>
      </c>
      <c r="B19" s="3" t="s">
        <v>60</v>
      </c>
      <c r="C19" s="3" t="s">
        <v>19</v>
      </c>
      <c r="D19" s="3" t="s">
        <v>58</v>
      </c>
      <c r="E19" s="3" t="s">
        <v>16</v>
      </c>
      <c r="F19" s="3" t="s">
        <v>53</v>
      </c>
      <c r="G19" s="3" t="s">
        <v>13</v>
      </c>
    </row>
    <row r="20">
      <c r="A20" s="3" t="s">
        <v>61</v>
      </c>
      <c r="B20" s="3" t="s">
        <v>62</v>
      </c>
      <c r="C20" s="3" t="s">
        <v>19</v>
      </c>
      <c r="D20" s="3" t="s">
        <v>63</v>
      </c>
      <c r="E20" s="3" t="s">
        <v>11</v>
      </c>
      <c r="F20" s="3" t="s">
        <v>64</v>
      </c>
      <c r="G20" s="3" t="s">
        <v>13</v>
      </c>
    </row>
    <row r="21" ht="15.75" customHeight="1">
      <c r="A21" s="3" t="s">
        <v>65</v>
      </c>
      <c r="B21" s="3" t="s">
        <v>66</v>
      </c>
      <c r="C21" s="3" t="s">
        <v>19</v>
      </c>
      <c r="D21" s="3" t="s">
        <v>63</v>
      </c>
      <c r="E21" s="3" t="s">
        <v>16</v>
      </c>
      <c r="F21" s="3" t="s">
        <v>64</v>
      </c>
      <c r="G21" s="3" t="s">
        <v>13</v>
      </c>
    </row>
    <row r="22" ht="15.75" customHeight="1">
      <c r="A22" s="3" t="s">
        <v>67</v>
      </c>
      <c r="B22" s="3" t="s">
        <v>68</v>
      </c>
      <c r="C22" s="3" t="s">
        <v>19</v>
      </c>
      <c r="D22" s="3" t="s">
        <v>69</v>
      </c>
      <c r="E22" s="3" t="s">
        <v>11</v>
      </c>
      <c r="F22" s="3" t="s">
        <v>21</v>
      </c>
      <c r="G22" s="3" t="s">
        <v>13</v>
      </c>
    </row>
    <row r="23" ht="15.75" customHeight="1">
      <c r="A23" s="3" t="s">
        <v>70</v>
      </c>
      <c r="B23" s="3" t="s">
        <v>71</v>
      </c>
      <c r="C23" s="3" t="s">
        <v>19</v>
      </c>
      <c r="D23" s="3" t="s">
        <v>69</v>
      </c>
      <c r="E23" s="3" t="s">
        <v>16</v>
      </c>
      <c r="F23" s="3" t="s">
        <v>21</v>
      </c>
      <c r="G23" s="3" t="s">
        <v>13</v>
      </c>
    </row>
    <row r="24" ht="15.75" customHeight="1">
      <c r="A24" s="3" t="s">
        <v>72</v>
      </c>
      <c r="B24" s="3" t="s">
        <v>73</v>
      </c>
      <c r="C24" s="3" t="s">
        <v>19</v>
      </c>
      <c r="D24" s="3" t="s">
        <v>74</v>
      </c>
      <c r="E24" s="3" t="s">
        <v>11</v>
      </c>
      <c r="F24" s="3" t="s">
        <v>75</v>
      </c>
      <c r="G24" s="3" t="s">
        <v>13</v>
      </c>
    </row>
    <row r="25" ht="15.75" customHeight="1">
      <c r="A25" s="3" t="s">
        <v>76</v>
      </c>
      <c r="B25" s="3" t="s">
        <v>77</v>
      </c>
      <c r="C25" s="3" t="s">
        <v>19</v>
      </c>
      <c r="D25" s="3" t="s">
        <v>74</v>
      </c>
      <c r="E25" s="3" t="s">
        <v>16</v>
      </c>
      <c r="F25" s="3" t="s">
        <v>75</v>
      </c>
      <c r="G25" s="3" t="s">
        <v>13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5.0"/>
    <col customWidth="1" min="3" max="3" width="10.0"/>
    <col customWidth="1" min="4" max="26" width="8.71"/>
  </cols>
  <sheetData>
    <row r="1">
      <c r="A1" s="4" t="s">
        <v>78</v>
      </c>
    </row>
    <row r="3">
      <c r="A3" s="5" t="s">
        <v>2</v>
      </c>
      <c r="B3" s="5" t="s">
        <v>4</v>
      </c>
      <c r="C3" s="5" t="s">
        <v>79</v>
      </c>
    </row>
    <row r="4">
      <c r="A4" s="6" t="s">
        <v>19</v>
      </c>
      <c r="B4" s="6" t="s">
        <v>16</v>
      </c>
      <c r="C4" s="6">
        <v>9.0</v>
      </c>
    </row>
    <row r="5">
      <c r="A5" s="6" t="s">
        <v>19</v>
      </c>
      <c r="B5" s="6" t="s">
        <v>11</v>
      </c>
      <c r="C5" s="6">
        <v>9.0</v>
      </c>
    </row>
    <row r="6">
      <c r="A6" s="6" t="s">
        <v>9</v>
      </c>
      <c r="B6" s="6" t="s">
        <v>16</v>
      </c>
      <c r="C6" s="6">
        <v>3.0</v>
      </c>
    </row>
    <row r="7">
      <c r="A7" s="6" t="s">
        <v>9</v>
      </c>
      <c r="B7" s="6" t="s">
        <v>11</v>
      </c>
      <c r="C7" s="6">
        <v>3.0</v>
      </c>
    </row>
    <row r="8">
      <c r="A8" s="7" t="s">
        <v>80</v>
      </c>
      <c r="C8" s="7">
        <f>SUM(C4:C7)</f>
        <v>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0.0"/>
    <col customWidth="1" min="4" max="26" width="8.71"/>
  </cols>
  <sheetData>
    <row r="1">
      <c r="A1" s="4" t="s">
        <v>81</v>
      </c>
    </row>
    <row r="3">
      <c r="A3" s="8" t="s">
        <v>5</v>
      </c>
      <c r="B3" s="8" t="s">
        <v>2</v>
      </c>
      <c r="C3" s="8" t="s">
        <v>79</v>
      </c>
    </row>
    <row r="4">
      <c r="A4" s="9" t="s">
        <v>53</v>
      </c>
      <c r="B4" s="9" t="s">
        <v>19</v>
      </c>
      <c r="C4" s="9">
        <v>2.0</v>
      </c>
    </row>
    <row r="5">
      <c r="A5" s="9" t="s">
        <v>27</v>
      </c>
      <c r="B5" s="9" t="s">
        <v>19</v>
      </c>
      <c r="C5" s="9">
        <v>3.0</v>
      </c>
    </row>
    <row r="6">
      <c r="A6" s="9" t="s">
        <v>27</v>
      </c>
      <c r="B6" s="9" t="s">
        <v>9</v>
      </c>
      <c r="C6" s="9">
        <v>2.0</v>
      </c>
    </row>
    <row r="7">
      <c r="A7" s="9" t="s">
        <v>75</v>
      </c>
      <c r="B7" s="9" t="s">
        <v>19</v>
      </c>
      <c r="C7" s="9">
        <v>1.0</v>
      </c>
    </row>
    <row r="8">
      <c r="A8" s="9" t="s">
        <v>64</v>
      </c>
      <c r="B8" s="9" t="s">
        <v>19</v>
      </c>
      <c r="C8" s="9">
        <v>1.0</v>
      </c>
    </row>
    <row r="9">
      <c r="A9" s="9" t="s">
        <v>12</v>
      </c>
      <c r="B9" s="9" t="s">
        <v>9</v>
      </c>
      <c r="C9" s="9">
        <v>1.0</v>
      </c>
    </row>
    <row r="10">
      <c r="A10" s="9" t="s">
        <v>21</v>
      </c>
      <c r="B10" s="9" t="s">
        <v>19</v>
      </c>
      <c r="C10" s="9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2025-11-30T23:11:10Z</dcterms:created>
  <dc:creator>openpyxl</dc:creator>
</cp:coreProperties>
</file>